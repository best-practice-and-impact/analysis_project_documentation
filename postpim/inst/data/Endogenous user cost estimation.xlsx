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X34" i="1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I28"/>
  <c r="J28" s="1"/>
  <c r="K28" s="1"/>
  <c r="L28" s="1"/>
  <c r="M28" s="1"/>
  <c r="N28" s="1"/>
  <c r="O28" s="1"/>
  <c r="P28" s="1"/>
  <c r="Q28" s="1"/>
  <c r="R28" s="1"/>
  <c r="S28" s="1"/>
  <c r="T28" s="1"/>
  <c r="U28" s="1"/>
  <c r="V28" s="1"/>
  <c r="W28" s="1"/>
  <c r="X28" s="1"/>
  <c r="H28"/>
  <c r="G28"/>
  <c r="F28"/>
  <c r="E28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X21"/>
  <c r="W21"/>
  <c r="E21"/>
  <c r="F21"/>
  <c r="V21"/>
  <c r="U21"/>
  <c r="T21"/>
  <c r="S21"/>
  <c r="R21"/>
  <c r="Q21"/>
  <c r="P21"/>
  <c r="O21"/>
  <c r="N21"/>
  <c r="M21"/>
  <c r="L21"/>
  <c r="K21"/>
  <c r="J21"/>
  <c r="I21"/>
  <c r="H21"/>
  <c r="G21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X18"/>
  <c r="X19" s="1"/>
  <c r="W18"/>
  <c r="W19" s="1"/>
  <c r="V18"/>
  <c r="V19" s="1"/>
  <c r="U18"/>
  <c r="U19" s="1"/>
  <c r="T18"/>
  <c r="T19" s="1"/>
  <c r="S18"/>
  <c r="S19" s="1"/>
  <c r="R18"/>
  <c r="R19" s="1"/>
  <c r="Q18"/>
  <c r="Q19" s="1"/>
  <c r="P18"/>
  <c r="P19" s="1"/>
  <c r="O18"/>
  <c r="O19" s="1"/>
  <c r="N18"/>
  <c r="N19" s="1"/>
  <c r="M18"/>
  <c r="M19" s="1"/>
  <c r="L18"/>
  <c r="L19" s="1"/>
  <c r="K18"/>
  <c r="K19" s="1"/>
  <c r="J18"/>
  <c r="J19" s="1"/>
  <c r="I18"/>
  <c r="I19" s="1"/>
  <c r="H18"/>
  <c r="H19" s="1"/>
  <c r="G18"/>
  <c r="G19" s="1"/>
  <c r="F18"/>
  <c r="F19" s="1"/>
  <c r="E11"/>
  <c r="E18"/>
  <c r="E19" s="1"/>
  <c r="M15"/>
  <c r="X14"/>
  <c r="X15" s="1"/>
  <c r="W14"/>
  <c r="W15" s="1"/>
  <c r="V14"/>
  <c r="V15" s="1"/>
  <c r="U14"/>
  <c r="U15" s="1"/>
  <c r="T14"/>
  <c r="T15" s="1"/>
  <c r="S14"/>
  <c r="S15" s="1"/>
  <c r="R14"/>
  <c r="R15" s="1"/>
  <c r="Q14"/>
  <c r="Q15" s="1"/>
  <c r="P14"/>
  <c r="P15" s="1"/>
  <c r="O14"/>
  <c r="O15" s="1"/>
  <c r="N14"/>
  <c r="N15" s="1"/>
  <c r="M14"/>
  <c r="L14"/>
  <c r="L15" s="1"/>
  <c r="K14"/>
  <c r="K15" s="1"/>
  <c r="J14"/>
  <c r="J15" s="1"/>
  <c r="I14"/>
  <c r="I15" s="1"/>
  <c r="H14"/>
  <c r="H15" s="1"/>
  <c r="G14"/>
  <c r="G15" s="1"/>
  <c r="F14"/>
  <c r="F15" s="1"/>
  <c r="E14"/>
  <c r="E15" s="1"/>
  <c r="F11" l="1"/>
  <c r="F12" s="1"/>
  <c r="E12"/>
  <c r="G11" l="1"/>
  <c r="G12" s="1"/>
  <c r="H11" l="1"/>
  <c r="H12" s="1"/>
  <c r="I11" l="1"/>
  <c r="I12" s="1"/>
  <c r="J11" l="1"/>
  <c r="J12" s="1"/>
  <c r="L11" l="1"/>
  <c r="L12" s="1"/>
  <c r="K11"/>
  <c r="K12" s="1"/>
  <c r="M11" l="1"/>
  <c r="M12" s="1"/>
  <c r="N11" l="1"/>
  <c r="N12" s="1"/>
  <c r="O11" l="1"/>
  <c r="O12" s="1"/>
  <c r="P11" l="1"/>
  <c r="P12" s="1"/>
  <c r="Q11" l="1"/>
  <c r="Q12" s="1"/>
  <c r="R11" l="1"/>
  <c r="R12" s="1"/>
  <c r="S11" l="1"/>
  <c r="S12" s="1"/>
  <c r="T11" l="1"/>
  <c r="T12" s="1"/>
  <c r="U11" l="1"/>
  <c r="U12" s="1"/>
  <c r="V11" l="1"/>
  <c r="V12" s="1"/>
  <c r="X11" l="1"/>
  <c r="X12" s="1"/>
  <c r="W11"/>
  <c r="W12" s="1"/>
</calcChain>
</file>

<file path=xl/sharedStrings.xml><?xml version="1.0" encoding="utf-8"?>
<sst xmlns="http://schemas.openxmlformats.org/spreadsheetml/2006/main" count="55" uniqueCount="31">
  <si>
    <t>Endogenous rates of return</t>
  </si>
  <si>
    <t>Inputs</t>
  </si>
  <si>
    <t>Gross operating surplus</t>
  </si>
  <si>
    <t>Net stock</t>
  </si>
  <si>
    <t>Consumption of fixed capital</t>
  </si>
  <si>
    <t>Real holding gains/losses</t>
  </si>
  <si>
    <t>Units</t>
  </si>
  <si>
    <t>£m</t>
  </si>
  <si>
    <t>%</t>
  </si>
  <si>
    <t>Calculation method 1 - RoR</t>
  </si>
  <si>
    <t>Calculation method 2 - RoR</t>
  </si>
  <si>
    <t>Calculation method 3 - RoR</t>
  </si>
  <si>
    <t>Formula</t>
  </si>
  <si>
    <t>Calculation method 4 - RoR</t>
  </si>
  <si>
    <t>User cost formula:</t>
  </si>
  <si>
    <t>Inputs:</t>
  </si>
  <si>
    <t>Rate of return</t>
  </si>
  <si>
    <t>User cost calculation</t>
  </si>
  <si>
    <t>Endogenous return on capital</t>
  </si>
  <si>
    <t>Endogenous user cost</t>
  </si>
  <si>
    <t>Calc for 'pure' return on capital</t>
  </si>
  <si>
    <t>Rate of return subject to conditions above</t>
  </si>
  <si>
    <t>Calc for return on capital under no holding gains/losses</t>
  </si>
  <si>
    <t>Holding gains with ceiling of zero</t>
  </si>
  <si>
    <t>Calc for return on capital under holding gains/losses with ceiling of zero</t>
  </si>
  <si>
    <t>Holding gains smoothed with period Moving average - suggest use of time series applications for this</t>
  </si>
  <si>
    <t>Calc for return on capital under holding gains/losses smoothed</t>
  </si>
  <si>
    <t>Endogenous rate of return formula</t>
  </si>
  <si>
    <t>Note: This to be estimated at level of 'Market sector' total asset, total industry</t>
  </si>
  <si>
    <t>Output:</t>
  </si>
  <si>
    <t>Note: To be applied to each bottom level series within the 'market sector'. The return to capital formula shall set to use any of the four options for calculation</t>
  </si>
</sst>
</file>

<file path=xl/styles.xml><?xml version="1.0" encoding="utf-8"?>
<styleSheet xmlns="http://schemas.openxmlformats.org/spreadsheetml/2006/main">
  <numFmts count="1">
    <numFmt numFmtId="166" formatCode="0.000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/>
    <xf numFmtId="9" fontId="0" fillId="2" borderId="0" xfId="1" applyFont="1" applyFill="1"/>
    <xf numFmtId="0" fontId="0" fillId="3" borderId="0" xfId="0" applyFill="1"/>
    <xf numFmtId="0" fontId="0" fillId="4" borderId="0" xfId="0" applyFill="1"/>
    <xf numFmtId="166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34" sqref="E34"/>
    </sheetView>
  </sheetViews>
  <sheetFormatPr defaultRowHeight="15"/>
  <cols>
    <col min="2" max="2" width="32.85546875" customWidth="1"/>
    <col min="3" max="3" width="26.42578125" customWidth="1"/>
    <col min="4" max="4" width="13.85546875" customWidth="1"/>
  </cols>
  <sheetData>
    <row r="1" spans="1:24">
      <c r="C1" t="s">
        <v>12</v>
      </c>
      <c r="D1" t="s">
        <v>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</row>
    <row r="2" spans="1:24" s="1" customFormat="1">
      <c r="A2" s="1" t="s">
        <v>0</v>
      </c>
    </row>
    <row r="3" spans="1:24" s="4" customFormat="1">
      <c r="A3" s="4" t="s">
        <v>27</v>
      </c>
    </row>
    <row r="4" spans="1:24" s="4" customFormat="1">
      <c r="A4" s="4" t="s">
        <v>28</v>
      </c>
    </row>
    <row r="5" spans="1:24" s="1" customFormat="1">
      <c r="A5" s="1" t="s">
        <v>1</v>
      </c>
    </row>
    <row r="6" spans="1:24">
      <c r="B6" t="s">
        <v>2</v>
      </c>
      <c r="D6" t="s">
        <v>7</v>
      </c>
      <c r="E6" s="2">
        <v>100</v>
      </c>
      <c r="F6" s="2">
        <v>102</v>
      </c>
      <c r="G6" s="2">
        <v>104.04</v>
      </c>
      <c r="H6" s="2">
        <v>106.1208</v>
      </c>
      <c r="I6" s="2">
        <v>108.243216</v>
      </c>
      <c r="J6" s="2">
        <v>110.40808032000001</v>
      </c>
      <c r="K6" s="2">
        <v>112.61624192640001</v>
      </c>
      <c r="L6" s="2">
        <v>114.868566764928</v>
      </c>
      <c r="M6" s="2">
        <v>117.16593810022657</v>
      </c>
      <c r="N6" s="2">
        <v>119.5092568622311</v>
      </c>
      <c r="O6" s="2">
        <v>121.89944199947573</v>
      </c>
      <c r="P6" s="2">
        <v>124.33743083946524</v>
      </c>
      <c r="Q6" s="2">
        <v>126.82417945625456</v>
      </c>
      <c r="R6" s="2">
        <v>129.36066304537965</v>
      </c>
      <c r="S6" s="2">
        <v>131.94787630628724</v>
      </c>
      <c r="T6" s="2">
        <v>134.58683383241299</v>
      </c>
      <c r="U6" s="2">
        <v>137.27857050906127</v>
      </c>
      <c r="V6" s="2">
        <v>140.02414191924251</v>
      </c>
      <c r="W6" s="2">
        <v>142.82462475762736</v>
      </c>
      <c r="X6" s="2">
        <v>145.6811172527799</v>
      </c>
    </row>
    <row r="7" spans="1:24">
      <c r="B7" t="s">
        <v>3</v>
      </c>
      <c r="D7" t="s">
        <v>7</v>
      </c>
      <c r="E7" s="2">
        <v>2000</v>
      </c>
      <c r="F7" s="2">
        <v>2045.9999999999998</v>
      </c>
      <c r="G7" s="2">
        <v>2093.0579999999995</v>
      </c>
      <c r="H7" s="2">
        <v>2141.1983339999992</v>
      </c>
      <c r="I7" s="2">
        <v>2190.445895681999</v>
      </c>
      <c r="J7" s="2">
        <v>2240.8261512826848</v>
      </c>
      <c r="K7" s="2">
        <v>2292.3651527621864</v>
      </c>
      <c r="L7" s="2">
        <v>2345.0895512757165</v>
      </c>
      <c r="M7" s="2">
        <v>2399.026610955058</v>
      </c>
      <c r="N7" s="2">
        <v>2454.2042230070242</v>
      </c>
      <c r="O7" s="2">
        <v>2510.6509201361855</v>
      </c>
      <c r="P7" s="2">
        <v>2568.3958912993176</v>
      </c>
      <c r="Q7" s="2">
        <v>2627.4689967992017</v>
      </c>
      <c r="R7" s="2">
        <v>2687.9007837255831</v>
      </c>
      <c r="S7" s="2">
        <v>2749.7225017512715</v>
      </c>
      <c r="T7" s="2">
        <v>2812.9661192915505</v>
      </c>
      <c r="U7" s="2">
        <v>2877.6643400352559</v>
      </c>
      <c r="V7" s="2">
        <v>2943.8506198560667</v>
      </c>
      <c r="W7" s="2">
        <v>3011.5591841127562</v>
      </c>
      <c r="X7" s="2">
        <v>3080.8250453473493</v>
      </c>
    </row>
    <row r="8" spans="1:24">
      <c r="B8" t="s">
        <v>4</v>
      </c>
      <c r="D8" t="s">
        <v>7</v>
      </c>
      <c r="E8" s="2">
        <v>50</v>
      </c>
      <c r="F8" s="2">
        <v>51.149999999999991</v>
      </c>
      <c r="G8" s="2">
        <v>52.326449999999987</v>
      </c>
      <c r="H8" s="2">
        <v>53.52995834999998</v>
      </c>
      <c r="I8" s="2">
        <v>54.761147392049978</v>
      </c>
      <c r="J8" s="2">
        <v>56.020653782067122</v>
      </c>
      <c r="K8" s="2">
        <v>57.309128819054663</v>
      </c>
      <c r="L8" s="2">
        <v>58.627238781892913</v>
      </c>
      <c r="M8" s="2">
        <v>59.975665273876452</v>
      </c>
      <c r="N8" s="2">
        <v>61.355105575175607</v>
      </c>
      <c r="O8" s="2">
        <v>62.766273003404635</v>
      </c>
      <c r="P8" s="2">
        <v>64.209897282482942</v>
      </c>
      <c r="Q8" s="2">
        <v>65.686724919980037</v>
      </c>
      <c r="R8" s="2">
        <v>67.197519593139575</v>
      </c>
      <c r="S8" s="2">
        <v>68.743062543781789</v>
      </c>
      <c r="T8" s="2">
        <v>70.324152982288766</v>
      </c>
      <c r="U8" s="2">
        <v>71.941608500881401</v>
      </c>
      <c r="V8" s="2">
        <v>73.596265496401671</v>
      </c>
      <c r="W8" s="2">
        <v>75.288979602818898</v>
      </c>
      <c r="X8" s="2">
        <v>77.020626133683734</v>
      </c>
    </row>
    <row r="9" spans="1:24">
      <c r="B9" t="s">
        <v>5</v>
      </c>
      <c r="D9" t="s">
        <v>7</v>
      </c>
      <c r="E9">
        <v>20</v>
      </c>
      <c r="F9">
        <v>20.459999999999997</v>
      </c>
      <c r="G9">
        <v>20.930579999999996</v>
      </c>
      <c r="H9">
        <v>-21.411983339999999</v>
      </c>
      <c r="I9">
        <v>21.90445895681999</v>
      </c>
      <c r="J9">
        <v>22.408261512826847</v>
      </c>
      <c r="K9">
        <v>22.923651527621864</v>
      </c>
      <c r="L9">
        <v>-23.450895512757199</v>
      </c>
      <c r="M9">
        <v>23.990266109550582</v>
      </c>
      <c r="N9">
        <v>24.542042230070244</v>
      </c>
      <c r="O9">
        <v>25.106509201361856</v>
      </c>
      <c r="P9">
        <v>25.683958912993177</v>
      </c>
      <c r="Q9">
        <v>26.274689967992018</v>
      </c>
      <c r="R9">
        <v>-26.879007837255799</v>
      </c>
      <c r="S9">
        <v>27.497225017512715</v>
      </c>
      <c r="T9">
        <v>28.129661192915506</v>
      </c>
      <c r="U9">
        <v>28.776643400352558</v>
      </c>
      <c r="V9">
        <v>29.438506198560667</v>
      </c>
      <c r="W9">
        <v>30.115591841127561</v>
      </c>
      <c r="X9">
        <v>30.808250453473494</v>
      </c>
    </row>
    <row r="10" spans="1:24" s="1" customFormat="1">
      <c r="A10" s="1" t="s">
        <v>9</v>
      </c>
    </row>
    <row r="11" spans="1:24">
      <c r="B11" t="s">
        <v>20</v>
      </c>
      <c r="D11" t="s">
        <v>7</v>
      </c>
      <c r="E11" s="2">
        <f>E6-(E8-E9)</f>
        <v>70</v>
      </c>
      <c r="F11" s="2">
        <f t="shared" ref="F11:X11" si="0">F6-(F8-F9)</f>
        <v>71.31</v>
      </c>
      <c r="G11" s="2">
        <f t="shared" si="0"/>
        <v>72.644130000000018</v>
      </c>
      <c r="H11" s="2">
        <f t="shared" si="0"/>
        <v>31.178858310000024</v>
      </c>
      <c r="I11" s="2">
        <f t="shared" si="0"/>
        <v>75.38652756477002</v>
      </c>
      <c r="J11" s="2">
        <f t="shared" si="0"/>
        <v>76.795688050759736</v>
      </c>
      <c r="K11" s="2">
        <f t="shared" si="0"/>
        <v>78.230764634967215</v>
      </c>
      <c r="L11" s="2">
        <f t="shared" si="0"/>
        <v>32.790432470277892</v>
      </c>
      <c r="M11" s="2">
        <f t="shared" si="0"/>
        <v>81.180538935900699</v>
      </c>
      <c r="N11" s="2">
        <f t="shared" si="0"/>
        <v>82.696193517125735</v>
      </c>
      <c r="O11" s="2">
        <f t="shared" si="0"/>
        <v>84.239678197432951</v>
      </c>
      <c r="P11" s="2">
        <f t="shared" si="0"/>
        <v>85.811492469975477</v>
      </c>
      <c r="Q11" s="2">
        <f t="shared" si="0"/>
        <v>87.412144504266536</v>
      </c>
      <c r="R11" s="2">
        <f t="shared" si="0"/>
        <v>35.28413561498428</v>
      </c>
      <c r="S11" s="2">
        <f t="shared" si="0"/>
        <v>90.702038780018171</v>
      </c>
      <c r="T11" s="2">
        <f t="shared" si="0"/>
        <v>92.392342043039733</v>
      </c>
      <c r="U11" s="2">
        <f t="shared" si="0"/>
        <v>94.113605408532422</v>
      </c>
      <c r="V11" s="2">
        <f t="shared" si="0"/>
        <v>95.866382621401499</v>
      </c>
      <c r="W11" s="2">
        <f t="shared" si="0"/>
        <v>97.651236995936017</v>
      </c>
      <c r="X11" s="2">
        <f t="shared" si="0"/>
        <v>99.468741572569655</v>
      </c>
    </row>
    <row r="12" spans="1:24" s="5" customFormat="1">
      <c r="A12" s="5" t="s">
        <v>29</v>
      </c>
      <c r="B12" s="5" t="s">
        <v>21</v>
      </c>
      <c r="D12" s="5" t="s">
        <v>8</v>
      </c>
      <c r="E12" s="6">
        <f>E11/E7</f>
        <v>3.5000000000000003E-2</v>
      </c>
      <c r="F12" s="6">
        <f t="shared" ref="F12:X12" si="1">F11/F7</f>
        <v>3.48533724340176E-2</v>
      </c>
      <c r="G12" s="6">
        <f t="shared" si="1"/>
        <v>3.4707174860897326E-2</v>
      </c>
      <c r="H12" s="6">
        <f t="shared" si="1"/>
        <v>1.4561406019663022E-2</v>
      </c>
      <c r="I12" s="6">
        <f t="shared" si="1"/>
        <v>3.4416064653036454E-2</v>
      </c>
      <c r="J12" s="6">
        <f t="shared" si="1"/>
        <v>3.4271149507426379E-2</v>
      </c>
      <c r="K12" s="6">
        <f t="shared" si="1"/>
        <v>3.4126659332917801E-2</v>
      </c>
      <c r="L12" s="6">
        <f t="shared" si="1"/>
        <v>1.398259288326114E-2</v>
      </c>
      <c r="M12" s="6">
        <f t="shared" si="1"/>
        <v>3.3838948915861561E-2</v>
      </c>
      <c r="N12" s="6">
        <f t="shared" si="1"/>
        <v>3.3695726191768131E-2</v>
      </c>
      <c r="O12" s="6">
        <f t="shared" si="1"/>
        <v>3.355292347566325E-2</v>
      </c>
      <c r="P12" s="6">
        <f t="shared" si="1"/>
        <v>3.3410539535851921E-2</v>
      </c>
      <c r="Q12" s="6">
        <f t="shared" si="1"/>
        <v>3.326857314425119E-2</v>
      </c>
      <c r="R12" s="6">
        <f t="shared" si="1"/>
        <v>1.3127023076379503E-2</v>
      </c>
      <c r="S12" s="6">
        <f t="shared" si="1"/>
        <v>3.2985888111346118E-2</v>
      </c>
      <c r="T12" s="6">
        <f t="shared" si="1"/>
        <v>3.2845167031840705E-2</v>
      </c>
      <c r="U12" s="6">
        <f t="shared" si="1"/>
        <v>3.2704858624122708E-2</v>
      </c>
      <c r="V12" s="6">
        <f t="shared" si="1"/>
        <v>3.2564961678010915E-2</v>
      </c>
      <c r="W12" s="6">
        <f t="shared" si="1"/>
        <v>3.2425474986873058E-2</v>
      </c>
      <c r="X12" s="6">
        <f t="shared" si="1"/>
        <v>3.2286397347615368E-2</v>
      </c>
    </row>
    <row r="13" spans="1:24" s="1" customFormat="1">
      <c r="A13" s="1" t="s">
        <v>10</v>
      </c>
      <c r="E13" s="3"/>
    </row>
    <row r="14" spans="1:24">
      <c r="B14" t="s">
        <v>22</v>
      </c>
      <c r="D14" t="s">
        <v>7</v>
      </c>
      <c r="E14" s="2">
        <f>E6-E8</f>
        <v>50</v>
      </c>
      <c r="F14" s="2">
        <f t="shared" ref="F14:X14" si="2">F6-F8</f>
        <v>50.850000000000009</v>
      </c>
      <c r="G14" s="2">
        <f t="shared" si="2"/>
        <v>51.713550000000019</v>
      </c>
      <c r="H14" s="2">
        <f t="shared" si="2"/>
        <v>52.590841650000023</v>
      </c>
      <c r="I14" s="2">
        <f t="shared" si="2"/>
        <v>53.482068607950026</v>
      </c>
      <c r="J14" s="2">
        <f t="shared" si="2"/>
        <v>54.387426537932889</v>
      </c>
      <c r="K14" s="2">
        <f t="shared" si="2"/>
        <v>55.307113107345344</v>
      </c>
      <c r="L14" s="2">
        <f t="shared" si="2"/>
        <v>56.241327983035092</v>
      </c>
      <c r="M14" s="2">
        <f t="shared" si="2"/>
        <v>57.190272826350117</v>
      </c>
      <c r="N14" s="2">
        <f t="shared" si="2"/>
        <v>58.154151287055491</v>
      </c>
      <c r="O14" s="2">
        <f t="shared" si="2"/>
        <v>59.133168996071092</v>
      </c>
      <c r="P14" s="2">
        <f t="shared" si="2"/>
        <v>60.1275335569823</v>
      </c>
      <c r="Q14" s="2">
        <f t="shared" si="2"/>
        <v>61.137454536274518</v>
      </c>
      <c r="R14" s="2">
        <f t="shared" si="2"/>
        <v>62.163143452240078</v>
      </c>
      <c r="S14" s="2">
        <f t="shared" si="2"/>
        <v>63.204813762505452</v>
      </c>
      <c r="T14" s="2">
        <f t="shared" si="2"/>
        <v>64.262680850124227</v>
      </c>
      <c r="U14" s="2">
        <f t="shared" si="2"/>
        <v>65.336962008179867</v>
      </c>
      <c r="V14" s="2">
        <f t="shared" si="2"/>
        <v>66.427876422840839</v>
      </c>
      <c r="W14" s="2">
        <f t="shared" si="2"/>
        <v>67.535645154808464</v>
      </c>
      <c r="X14" s="2">
        <f t="shared" si="2"/>
        <v>68.660491119096164</v>
      </c>
    </row>
    <row r="15" spans="1:24" s="5" customFormat="1">
      <c r="A15" s="5" t="s">
        <v>29</v>
      </c>
      <c r="B15" s="5" t="s">
        <v>21</v>
      </c>
      <c r="D15" s="5" t="s">
        <v>8</v>
      </c>
      <c r="E15" s="6">
        <f>E14/E7</f>
        <v>2.5000000000000001E-2</v>
      </c>
      <c r="F15" s="6">
        <f t="shared" ref="F15:X15" si="3">F14/F7</f>
        <v>2.4853372434017602E-2</v>
      </c>
      <c r="G15" s="6">
        <f t="shared" si="3"/>
        <v>2.4707174860897324E-2</v>
      </c>
      <c r="H15" s="6">
        <f t="shared" si="3"/>
        <v>2.4561406019663026E-2</v>
      </c>
      <c r="I15" s="6">
        <f t="shared" si="3"/>
        <v>2.4416064653036453E-2</v>
      </c>
      <c r="J15" s="6">
        <f t="shared" si="3"/>
        <v>2.4271149507426381E-2</v>
      </c>
      <c r="K15" s="6">
        <f t="shared" si="3"/>
        <v>2.4126659332917799E-2</v>
      </c>
      <c r="L15" s="6">
        <f t="shared" si="3"/>
        <v>2.3982592883261152E-2</v>
      </c>
      <c r="M15" s="6">
        <f t="shared" si="3"/>
        <v>2.3838948915861562E-2</v>
      </c>
      <c r="N15" s="6">
        <f t="shared" si="3"/>
        <v>2.3695726191768129E-2</v>
      </c>
      <c r="O15" s="6">
        <f t="shared" si="3"/>
        <v>2.3552923475663245E-2</v>
      </c>
      <c r="P15" s="6">
        <f t="shared" si="3"/>
        <v>2.3410539535851919E-2</v>
      </c>
      <c r="Q15" s="6">
        <f t="shared" si="3"/>
        <v>2.3268573144251188E-2</v>
      </c>
      <c r="R15" s="6">
        <f t="shared" si="3"/>
        <v>2.312702307637949E-2</v>
      </c>
      <c r="S15" s="6">
        <f t="shared" si="3"/>
        <v>2.2985888111346116E-2</v>
      </c>
      <c r="T15" s="6">
        <f t="shared" si="3"/>
        <v>2.2845167031840707E-2</v>
      </c>
      <c r="U15" s="6">
        <f t="shared" si="3"/>
        <v>2.270485862412271E-2</v>
      </c>
      <c r="V15" s="6">
        <f t="shared" si="3"/>
        <v>2.256496167801092E-2</v>
      </c>
      <c r="W15" s="6">
        <f t="shared" si="3"/>
        <v>2.2425474986873063E-2</v>
      </c>
      <c r="X15" s="6">
        <f t="shared" si="3"/>
        <v>2.228639734761537E-2</v>
      </c>
    </row>
    <row r="16" spans="1:24" s="1" customFormat="1">
      <c r="A16" s="1" t="s">
        <v>11</v>
      </c>
    </row>
    <row r="17" spans="1:24">
      <c r="B17" t="s">
        <v>23</v>
      </c>
      <c r="D17" t="s">
        <v>7</v>
      </c>
      <c r="E17">
        <f>MIN(E9,0)</f>
        <v>0</v>
      </c>
      <c r="F17">
        <f t="shared" ref="F17:X17" si="4">MIN(F9,0)</f>
        <v>0</v>
      </c>
      <c r="G17">
        <f t="shared" si="4"/>
        <v>0</v>
      </c>
      <c r="H17">
        <f t="shared" si="4"/>
        <v>-21.411983339999999</v>
      </c>
      <c r="I17">
        <f t="shared" si="4"/>
        <v>0</v>
      </c>
      <c r="J17">
        <f t="shared" si="4"/>
        <v>0</v>
      </c>
      <c r="K17">
        <f t="shared" si="4"/>
        <v>0</v>
      </c>
      <c r="L17">
        <f t="shared" si="4"/>
        <v>-23.450895512757199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-26.879007837255799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</row>
    <row r="18" spans="1:24">
      <c r="B18" t="s">
        <v>24</v>
      </c>
      <c r="D18" t="s">
        <v>7</v>
      </c>
      <c r="E18" s="2">
        <f>E6-(E8-E17)</f>
        <v>50</v>
      </c>
      <c r="F18" s="2">
        <f t="shared" ref="F18:X18" si="5">F6-(F8-F17)</f>
        <v>50.850000000000009</v>
      </c>
      <c r="G18" s="2">
        <f t="shared" si="5"/>
        <v>51.713550000000019</v>
      </c>
      <c r="H18" s="2">
        <f t="shared" si="5"/>
        <v>31.178858310000024</v>
      </c>
      <c r="I18" s="2">
        <f t="shared" si="5"/>
        <v>53.482068607950026</v>
      </c>
      <c r="J18" s="2">
        <f t="shared" si="5"/>
        <v>54.387426537932889</v>
      </c>
      <c r="K18" s="2">
        <f t="shared" si="5"/>
        <v>55.307113107345344</v>
      </c>
      <c r="L18" s="2">
        <f t="shared" si="5"/>
        <v>32.790432470277892</v>
      </c>
      <c r="M18" s="2">
        <f t="shared" si="5"/>
        <v>57.190272826350117</v>
      </c>
      <c r="N18" s="2">
        <f t="shared" si="5"/>
        <v>58.154151287055491</v>
      </c>
      <c r="O18" s="2">
        <f t="shared" si="5"/>
        <v>59.133168996071092</v>
      </c>
      <c r="P18" s="2">
        <f t="shared" si="5"/>
        <v>60.1275335569823</v>
      </c>
      <c r="Q18" s="2">
        <f t="shared" si="5"/>
        <v>61.137454536274518</v>
      </c>
      <c r="R18" s="2">
        <f t="shared" si="5"/>
        <v>35.28413561498428</v>
      </c>
      <c r="S18" s="2">
        <f t="shared" si="5"/>
        <v>63.204813762505452</v>
      </c>
      <c r="T18" s="2">
        <f t="shared" si="5"/>
        <v>64.262680850124227</v>
      </c>
      <c r="U18" s="2">
        <f t="shared" si="5"/>
        <v>65.336962008179867</v>
      </c>
      <c r="V18" s="2">
        <f t="shared" si="5"/>
        <v>66.427876422840839</v>
      </c>
      <c r="W18" s="2">
        <f t="shared" si="5"/>
        <v>67.535645154808464</v>
      </c>
      <c r="X18" s="2">
        <f t="shared" si="5"/>
        <v>68.660491119096164</v>
      </c>
    </row>
    <row r="19" spans="1:24" s="5" customFormat="1">
      <c r="A19" s="5" t="s">
        <v>29</v>
      </c>
      <c r="B19" s="5" t="s">
        <v>21</v>
      </c>
      <c r="D19" s="5" t="s">
        <v>8</v>
      </c>
      <c r="E19" s="5">
        <f>E18/E7</f>
        <v>2.5000000000000001E-2</v>
      </c>
      <c r="F19" s="5">
        <f t="shared" ref="F19:X19" si="6">F18/F7</f>
        <v>2.4853372434017602E-2</v>
      </c>
      <c r="G19" s="5">
        <f t="shared" si="6"/>
        <v>2.4707174860897324E-2</v>
      </c>
      <c r="H19" s="5">
        <f t="shared" si="6"/>
        <v>1.4561406019663022E-2</v>
      </c>
      <c r="I19" s="5">
        <f t="shared" si="6"/>
        <v>2.4416064653036453E-2</v>
      </c>
      <c r="J19" s="5">
        <f t="shared" si="6"/>
        <v>2.4271149507426381E-2</v>
      </c>
      <c r="K19" s="5">
        <f t="shared" si="6"/>
        <v>2.4126659332917799E-2</v>
      </c>
      <c r="L19" s="5">
        <f t="shared" si="6"/>
        <v>1.398259288326114E-2</v>
      </c>
      <c r="M19" s="5">
        <f t="shared" si="6"/>
        <v>2.3838948915861562E-2</v>
      </c>
      <c r="N19" s="5">
        <f t="shared" si="6"/>
        <v>2.3695726191768129E-2</v>
      </c>
      <c r="O19" s="5">
        <f t="shared" si="6"/>
        <v>2.3552923475663245E-2</v>
      </c>
      <c r="P19" s="5">
        <f t="shared" si="6"/>
        <v>2.3410539535851919E-2</v>
      </c>
      <c r="Q19" s="5">
        <f t="shared" si="6"/>
        <v>2.3268573144251188E-2</v>
      </c>
      <c r="R19" s="5">
        <f t="shared" si="6"/>
        <v>1.3127023076379503E-2</v>
      </c>
      <c r="S19" s="5">
        <f t="shared" si="6"/>
        <v>2.2985888111346116E-2</v>
      </c>
      <c r="T19" s="5">
        <f t="shared" si="6"/>
        <v>2.2845167031840707E-2</v>
      </c>
      <c r="U19" s="5">
        <f t="shared" si="6"/>
        <v>2.270485862412271E-2</v>
      </c>
      <c r="V19" s="5">
        <f t="shared" si="6"/>
        <v>2.256496167801092E-2</v>
      </c>
      <c r="W19" s="5">
        <f t="shared" si="6"/>
        <v>2.2425474986873063E-2</v>
      </c>
      <c r="X19" s="5">
        <f t="shared" si="6"/>
        <v>2.228639734761537E-2</v>
      </c>
    </row>
    <row r="20" spans="1:24" s="1" customFormat="1">
      <c r="A20" s="1" t="s">
        <v>13</v>
      </c>
    </row>
    <row r="21" spans="1:24">
      <c r="B21" t="s">
        <v>25</v>
      </c>
      <c r="D21" t="s">
        <v>7</v>
      </c>
      <c r="E21">
        <f>F21</f>
        <v>12.376611123363995</v>
      </c>
      <c r="F21">
        <f>G21</f>
        <v>12.376611123363995</v>
      </c>
      <c r="G21">
        <f>AVERAGE(E9:I9)</f>
        <v>12.376611123363995</v>
      </c>
      <c r="H21">
        <f t="shared" ref="H21:V21" si="7">AVERAGE(F9:J9)</f>
        <v>12.858263425929369</v>
      </c>
      <c r="I21">
        <f t="shared" si="7"/>
        <v>13.350993731453741</v>
      </c>
      <c r="J21">
        <f t="shared" si="7"/>
        <v>4.4746986289023001</v>
      </c>
      <c r="K21">
        <f t="shared" si="7"/>
        <v>13.555148518812416</v>
      </c>
      <c r="L21">
        <f t="shared" si="7"/>
        <v>14.082665173462468</v>
      </c>
      <c r="M21">
        <f t="shared" si="7"/>
        <v>14.622314711169469</v>
      </c>
      <c r="N21">
        <f t="shared" si="7"/>
        <v>15.174376188243732</v>
      </c>
      <c r="O21">
        <f t="shared" si="7"/>
        <v>25.119493284393577</v>
      </c>
      <c r="P21">
        <f t="shared" si="7"/>
        <v>14.945638495032298</v>
      </c>
      <c r="Q21">
        <f t="shared" si="7"/>
        <v>15.536675052520796</v>
      </c>
      <c r="R21">
        <f t="shared" si="7"/>
        <v>16.141305450831524</v>
      </c>
      <c r="S21">
        <f t="shared" si="7"/>
        <v>16.759842348303401</v>
      </c>
      <c r="T21">
        <f t="shared" si="7"/>
        <v>17.39260559441713</v>
      </c>
      <c r="U21">
        <f t="shared" si="7"/>
        <v>28.7915255300938</v>
      </c>
      <c r="V21">
        <f t="shared" si="7"/>
        <v>29.453730617285959</v>
      </c>
      <c r="W21">
        <f>V21</f>
        <v>29.453730617285959</v>
      </c>
      <c r="X21">
        <f>W21</f>
        <v>29.453730617285959</v>
      </c>
    </row>
    <row r="22" spans="1:24">
      <c r="B22" t="s">
        <v>26</v>
      </c>
      <c r="D22" t="s">
        <v>7</v>
      </c>
      <c r="E22" s="2">
        <f>E6-(E8-E21)</f>
        <v>62.376611123363993</v>
      </c>
      <c r="F22" s="2">
        <f t="shared" ref="F22:X22" si="8">F6-(F8-F21)</f>
        <v>63.226611123364002</v>
      </c>
      <c r="G22" s="2">
        <f t="shared" si="8"/>
        <v>64.090161123364012</v>
      </c>
      <c r="H22" s="2">
        <f t="shared" si="8"/>
        <v>65.449105075929396</v>
      </c>
      <c r="I22" s="2">
        <f t="shared" si="8"/>
        <v>66.833062339403767</v>
      </c>
      <c r="J22" s="2">
        <f t="shared" si="8"/>
        <v>58.862125166835192</v>
      </c>
      <c r="K22" s="2">
        <f t="shared" si="8"/>
        <v>68.86226162615776</v>
      </c>
      <c r="L22" s="2">
        <f t="shared" si="8"/>
        <v>70.323993156497551</v>
      </c>
      <c r="M22" s="2">
        <f t="shared" si="8"/>
        <v>71.81258753751959</v>
      </c>
      <c r="N22" s="2">
        <f t="shared" si="8"/>
        <v>73.328527475299225</v>
      </c>
      <c r="O22" s="2">
        <f t="shared" si="8"/>
        <v>84.252662280464676</v>
      </c>
      <c r="P22" s="2">
        <f t="shared" si="8"/>
        <v>75.073172052014598</v>
      </c>
      <c r="Q22" s="2">
        <f t="shared" si="8"/>
        <v>76.67412958879531</v>
      </c>
      <c r="R22" s="2">
        <f t="shared" si="8"/>
        <v>78.304448903071602</v>
      </c>
      <c r="S22" s="2">
        <f t="shared" si="8"/>
        <v>79.964656110808846</v>
      </c>
      <c r="T22" s="2">
        <f t="shared" si="8"/>
        <v>81.65528644454136</v>
      </c>
      <c r="U22" s="2">
        <f t="shared" si="8"/>
        <v>94.128487538273674</v>
      </c>
      <c r="V22" s="2">
        <f t="shared" si="8"/>
        <v>95.881607040126795</v>
      </c>
      <c r="W22" s="2">
        <f t="shared" si="8"/>
        <v>96.989375772094419</v>
      </c>
      <c r="X22" s="2">
        <f t="shared" si="8"/>
        <v>98.11422173638212</v>
      </c>
    </row>
    <row r="23" spans="1:24" s="5" customFormat="1">
      <c r="A23" s="5" t="s">
        <v>29</v>
      </c>
      <c r="B23" s="5" t="s">
        <v>21</v>
      </c>
      <c r="D23" s="5" t="s">
        <v>8</v>
      </c>
      <c r="E23" s="5">
        <f>E22/E7</f>
        <v>3.1188305561681996E-2</v>
      </c>
      <c r="F23" s="5">
        <f t="shared" ref="F23:X23" si="9">F22/F7</f>
        <v>3.090254698111633E-2</v>
      </c>
      <c r="G23" s="5">
        <f t="shared" si="9"/>
        <v>3.0620346461189336E-2</v>
      </c>
      <c r="H23" s="5">
        <f t="shared" si="9"/>
        <v>3.056657761995504E-2</v>
      </c>
      <c r="I23" s="5">
        <f t="shared" si="9"/>
        <v>3.0511167827131005E-2</v>
      </c>
      <c r="J23" s="5">
        <f t="shared" si="9"/>
        <v>2.6268046333331824E-2</v>
      </c>
      <c r="K23" s="5">
        <f t="shared" si="9"/>
        <v>3.0039830933209812E-2</v>
      </c>
      <c r="L23" s="5">
        <f t="shared" si="9"/>
        <v>2.9987764483553159E-2</v>
      </c>
      <c r="M23" s="5">
        <f t="shared" si="9"/>
        <v>2.9934052089956115E-2</v>
      </c>
      <c r="N23" s="5">
        <f t="shared" si="9"/>
        <v>2.9878739017673572E-2</v>
      </c>
      <c r="O23" s="5">
        <f t="shared" si="9"/>
        <v>3.3558095075955266E-2</v>
      </c>
      <c r="P23" s="5">
        <f t="shared" si="9"/>
        <v>2.9229595136143934E-2</v>
      </c>
      <c r="Q23" s="5">
        <f t="shared" si="9"/>
        <v>2.9181744744543204E-2</v>
      </c>
      <c r="R23" s="5">
        <f t="shared" si="9"/>
        <v>2.9132194676671507E-2</v>
      </c>
      <c r="S23" s="5">
        <f t="shared" si="9"/>
        <v>2.9080991285440672E-2</v>
      </c>
      <c r="T23" s="5">
        <f t="shared" si="9"/>
        <v>2.9028179857746157E-2</v>
      </c>
      <c r="U23" s="5">
        <f t="shared" si="9"/>
        <v>3.2710030224414724E-2</v>
      </c>
      <c r="V23" s="5">
        <f t="shared" si="9"/>
        <v>3.257013327830293E-2</v>
      </c>
      <c r="W23" s="5">
        <f t="shared" si="9"/>
        <v>3.220570138012039E-2</v>
      </c>
      <c r="X23" s="5">
        <f t="shared" si="9"/>
        <v>3.1846735952940221E-2</v>
      </c>
    </row>
    <row r="25" spans="1:24" s="1" customFormat="1">
      <c r="A25" s="1" t="s">
        <v>14</v>
      </c>
    </row>
    <row r="26" spans="1:24" s="4" customFormat="1">
      <c r="A26" s="4" t="s">
        <v>30</v>
      </c>
    </row>
    <row r="27" spans="1:24">
      <c r="A27" t="s">
        <v>15</v>
      </c>
    </row>
    <row r="28" spans="1:24">
      <c r="B28" t="s">
        <v>3</v>
      </c>
      <c r="E28">
        <f>200</f>
        <v>200</v>
      </c>
      <c r="F28">
        <f>E28*0.98</f>
        <v>196</v>
      </c>
      <c r="G28">
        <f t="shared" ref="G28:X28" si="10">F28*0.98</f>
        <v>192.07999999999998</v>
      </c>
      <c r="H28">
        <f t="shared" si="10"/>
        <v>188.23839999999998</v>
      </c>
      <c r="I28">
        <f t="shared" si="10"/>
        <v>184.47363199999998</v>
      </c>
      <c r="J28">
        <f t="shared" si="10"/>
        <v>180.78415935999999</v>
      </c>
      <c r="K28">
        <f t="shared" si="10"/>
        <v>177.16847617279998</v>
      </c>
      <c r="L28">
        <f t="shared" si="10"/>
        <v>173.62510664934399</v>
      </c>
      <c r="M28">
        <f t="shared" si="10"/>
        <v>170.15260451635712</v>
      </c>
      <c r="N28">
        <f t="shared" si="10"/>
        <v>166.74955242602996</v>
      </c>
      <c r="O28">
        <f t="shared" si="10"/>
        <v>163.41456137750936</v>
      </c>
      <c r="P28">
        <f t="shared" si="10"/>
        <v>160.14627014995918</v>
      </c>
      <c r="Q28">
        <f t="shared" si="10"/>
        <v>156.94334474695998</v>
      </c>
      <c r="R28">
        <f t="shared" si="10"/>
        <v>153.80447785202077</v>
      </c>
      <c r="S28">
        <f t="shared" si="10"/>
        <v>150.72838829498036</v>
      </c>
      <c r="T28">
        <f t="shared" si="10"/>
        <v>147.71382052908075</v>
      </c>
      <c r="U28">
        <f t="shared" si="10"/>
        <v>144.75954411849912</v>
      </c>
      <c r="V28">
        <f t="shared" si="10"/>
        <v>141.86435323612915</v>
      </c>
      <c r="W28">
        <f t="shared" si="10"/>
        <v>139.02706617140657</v>
      </c>
      <c r="X28">
        <f t="shared" si="10"/>
        <v>136.24652484797843</v>
      </c>
    </row>
    <row r="29" spans="1:24">
      <c r="B29" t="s">
        <v>4</v>
      </c>
      <c r="E29">
        <f>E28*0.1</f>
        <v>20</v>
      </c>
      <c r="F29">
        <f t="shared" ref="F29:X29" si="11">F28*0.1</f>
        <v>19.600000000000001</v>
      </c>
      <c r="G29">
        <f t="shared" si="11"/>
        <v>19.207999999999998</v>
      </c>
      <c r="H29">
        <f t="shared" si="11"/>
        <v>18.823840000000001</v>
      </c>
      <c r="I29">
        <f t="shared" si="11"/>
        <v>18.447363199999998</v>
      </c>
      <c r="J29">
        <f t="shared" si="11"/>
        <v>18.078415935999999</v>
      </c>
      <c r="K29">
        <f t="shared" si="11"/>
        <v>17.716847617279999</v>
      </c>
      <c r="L29">
        <f t="shared" si="11"/>
        <v>17.362510664934401</v>
      </c>
      <c r="M29">
        <f t="shared" si="11"/>
        <v>17.015260451635712</v>
      </c>
      <c r="N29">
        <f t="shared" si="11"/>
        <v>16.674955242602998</v>
      </c>
      <c r="O29">
        <f t="shared" si="11"/>
        <v>16.341456137750935</v>
      </c>
      <c r="P29">
        <f t="shared" si="11"/>
        <v>16.01462701499592</v>
      </c>
      <c r="Q29">
        <f t="shared" si="11"/>
        <v>15.694334474695999</v>
      </c>
      <c r="R29">
        <f t="shared" si="11"/>
        <v>15.380447785202078</v>
      </c>
      <c r="S29">
        <f t="shared" si="11"/>
        <v>15.072838829498037</v>
      </c>
      <c r="T29">
        <f t="shared" si="11"/>
        <v>14.771382052908075</v>
      </c>
      <c r="U29">
        <f t="shared" si="11"/>
        <v>14.475954411849912</v>
      </c>
      <c r="V29">
        <f t="shared" si="11"/>
        <v>14.186435323612915</v>
      </c>
      <c r="W29">
        <f t="shared" si="11"/>
        <v>13.902706617140659</v>
      </c>
      <c r="X29">
        <f t="shared" si="11"/>
        <v>13.624652484797844</v>
      </c>
    </row>
    <row r="30" spans="1:24">
      <c r="B30" t="s">
        <v>5</v>
      </c>
      <c r="E30">
        <f>E28*0.02</f>
        <v>4</v>
      </c>
      <c r="F30">
        <f t="shared" ref="F30:X30" si="12">F28*0.02</f>
        <v>3.92</v>
      </c>
      <c r="G30">
        <f t="shared" si="12"/>
        <v>3.8415999999999997</v>
      </c>
      <c r="H30">
        <f t="shared" si="12"/>
        <v>3.7647679999999997</v>
      </c>
      <c r="I30">
        <f t="shared" si="12"/>
        <v>3.6894726399999995</v>
      </c>
      <c r="J30">
        <f t="shared" si="12"/>
        <v>3.6156831871999997</v>
      </c>
      <c r="K30">
        <f t="shared" si="12"/>
        <v>3.5433695234559996</v>
      </c>
      <c r="L30">
        <f t="shared" si="12"/>
        <v>3.4725021329868797</v>
      </c>
      <c r="M30">
        <f t="shared" si="12"/>
        <v>3.4030520903271424</v>
      </c>
      <c r="N30">
        <f t="shared" si="12"/>
        <v>3.3349910485205996</v>
      </c>
      <c r="O30">
        <f t="shared" si="12"/>
        <v>3.2682912275501872</v>
      </c>
      <c r="P30">
        <f t="shared" si="12"/>
        <v>3.2029254029991838</v>
      </c>
      <c r="Q30">
        <f t="shared" si="12"/>
        <v>3.1388668949391998</v>
      </c>
      <c r="R30">
        <f t="shared" si="12"/>
        <v>3.0760895570404152</v>
      </c>
      <c r="S30">
        <f t="shared" si="12"/>
        <v>3.0145677658996073</v>
      </c>
      <c r="T30">
        <f t="shared" si="12"/>
        <v>2.9542764105816151</v>
      </c>
      <c r="U30">
        <f t="shared" si="12"/>
        <v>2.8951908823699823</v>
      </c>
      <c r="V30">
        <f t="shared" si="12"/>
        <v>2.8372870647225832</v>
      </c>
      <c r="W30">
        <f t="shared" si="12"/>
        <v>2.7805413234281313</v>
      </c>
      <c r="X30">
        <f t="shared" si="12"/>
        <v>2.7249304969595687</v>
      </c>
    </row>
    <row r="31" spans="1:24">
      <c r="B31" s="5" t="s">
        <v>16</v>
      </c>
      <c r="C31" s="5"/>
      <c r="E31">
        <f>E23</f>
        <v>3.1188305561681996E-2</v>
      </c>
      <c r="F31">
        <f t="shared" ref="F31:X31" si="13">F23</f>
        <v>3.090254698111633E-2</v>
      </c>
      <c r="G31">
        <f t="shared" si="13"/>
        <v>3.0620346461189336E-2</v>
      </c>
      <c r="H31">
        <f t="shared" si="13"/>
        <v>3.056657761995504E-2</v>
      </c>
      <c r="I31">
        <f t="shared" si="13"/>
        <v>3.0511167827131005E-2</v>
      </c>
      <c r="J31">
        <f t="shared" si="13"/>
        <v>2.6268046333331824E-2</v>
      </c>
      <c r="K31">
        <f t="shared" si="13"/>
        <v>3.0039830933209812E-2</v>
      </c>
      <c r="L31">
        <f t="shared" si="13"/>
        <v>2.9987764483553159E-2</v>
      </c>
      <c r="M31">
        <f t="shared" si="13"/>
        <v>2.9934052089956115E-2</v>
      </c>
      <c r="N31">
        <f t="shared" si="13"/>
        <v>2.9878739017673572E-2</v>
      </c>
      <c r="O31">
        <f t="shared" si="13"/>
        <v>3.3558095075955266E-2</v>
      </c>
      <c r="P31">
        <f t="shared" si="13"/>
        <v>2.9229595136143934E-2</v>
      </c>
      <c r="Q31">
        <f t="shared" si="13"/>
        <v>2.9181744744543204E-2</v>
      </c>
      <c r="R31">
        <f t="shared" si="13"/>
        <v>2.9132194676671507E-2</v>
      </c>
      <c r="S31">
        <f t="shared" si="13"/>
        <v>2.9080991285440672E-2</v>
      </c>
      <c r="T31">
        <f t="shared" si="13"/>
        <v>2.9028179857746157E-2</v>
      </c>
      <c r="U31">
        <f t="shared" si="13"/>
        <v>3.2710030224414724E-2</v>
      </c>
      <c r="V31">
        <f t="shared" si="13"/>
        <v>3.257013327830293E-2</v>
      </c>
      <c r="W31">
        <f t="shared" si="13"/>
        <v>3.220570138012039E-2</v>
      </c>
      <c r="X31">
        <f t="shared" si="13"/>
        <v>3.1846735952940221E-2</v>
      </c>
    </row>
    <row r="32" spans="1:24" s="1" customFormat="1">
      <c r="A32" s="1" t="s">
        <v>17</v>
      </c>
    </row>
    <row r="33" spans="1:24">
      <c r="B33" t="s">
        <v>18</v>
      </c>
      <c r="D33" t="s">
        <v>7</v>
      </c>
      <c r="E33">
        <f>E28*E31</f>
        <v>6.237661112336399</v>
      </c>
      <c r="F33">
        <f t="shared" ref="F33:X33" si="14">F28*F31</f>
        <v>6.0568992082988009</v>
      </c>
      <c r="G33">
        <f t="shared" si="14"/>
        <v>5.881556148265247</v>
      </c>
      <c r="H33">
        <f t="shared" si="14"/>
        <v>5.7538036646561439</v>
      </c>
      <c r="I33">
        <f t="shared" si="14"/>
        <v>5.628505945632404</v>
      </c>
      <c r="J33">
        <f t="shared" si="14"/>
        <v>4.7488466744009239</v>
      </c>
      <c r="K33">
        <f t="shared" si="14"/>
        <v>5.3221110709253221</v>
      </c>
      <c r="L33">
        <f t="shared" si="14"/>
        <v>5.2066288066323274</v>
      </c>
      <c r="M33">
        <f t="shared" si="14"/>
        <v>5.0933569268343364</v>
      </c>
      <c r="N33">
        <f t="shared" si="14"/>
        <v>4.9822663582512261</v>
      </c>
      <c r="O33">
        <f t="shared" si="14"/>
        <v>5.4838813875019863</v>
      </c>
      <c r="P33">
        <f t="shared" si="14"/>
        <v>4.6810106390468391</v>
      </c>
      <c r="Q33">
        <f t="shared" si="14"/>
        <v>4.5798806257606319</v>
      </c>
      <c r="R33">
        <f t="shared" si="14"/>
        <v>4.4806619909288798</v>
      </c>
      <c r="S33">
        <f t="shared" si="14"/>
        <v>4.3833309464748416</v>
      </c>
      <c r="T33">
        <f t="shared" si="14"/>
        <v>4.2878633497929926</v>
      </c>
      <c r="U33">
        <f t="shared" si="14"/>
        <v>4.7350890633886031</v>
      </c>
      <c r="V33">
        <f t="shared" si="14"/>
        <v>4.6205408923409719</v>
      </c>
      <c r="W33">
        <f t="shared" si="14"/>
        <v>4.4774641768705576</v>
      </c>
      <c r="X33">
        <f t="shared" si="14"/>
        <v>4.3390071013392779</v>
      </c>
    </row>
    <row r="34" spans="1:24" s="5" customFormat="1">
      <c r="A34" s="5" t="s">
        <v>29</v>
      </c>
      <c r="B34" s="5" t="s">
        <v>19</v>
      </c>
      <c r="D34" s="5" t="s">
        <v>7</v>
      </c>
      <c r="E34" s="5">
        <f>E29-E30+E33</f>
        <v>22.237661112336397</v>
      </c>
      <c r="F34" s="5">
        <f t="shared" ref="F34:X34" si="15">F29-F30+F33</f>
        <v>21.736899208298802</v>
      </c>
      <c r="G34" s="5">
        <f t="shared" si="15"/>
        <v>21.247956148265246</v>
      </c>
      <c r="H34" s="5">
        <f t="shared" si="15"/>
        <v>20.812875664656143</v>
      </c>
      <c r="I34" s="5">
        <f t="shared" si="15"/>
        <v>20.386396505632401</v>
      </c>
      <c r="J34" s="5">
        <f t="shared" si="15"/>
        <v>19.211579423200924</v>
      </c>
      <c r="K34" s="5">
        <f t="shared" si="15"/>
        <v>19.495589164749319</v>
      </c>
      <c r="L34" s="5">
        <f t="shared" si="15"/>
        <v>19.09663733857985</v>
      </c>
      <c r="M34" s="5">
        <f t="shared" si="15"/>
        <v>18.705565288142907</v>
      </c>
      <c r="N34" s="5">
        <f t="shared" si="15"/>
        <v>18.322230552333625</v>
      </c>
      <c r="O34" s="5">
        <f t="shared" si="15"/>
        <v>18.557046297702733</v>
      </c>
      <c r="P34" s="5">
        <f t="shared" si="15"/>
        <v>17.492712251043574</v>
      </c>
      <c r="Q34" s="5">
        <f t="shared" si="15"/>
        <v>17.135348205517431</v>
      </c>
      <c r="R34" s="5">
        <f t="shared" si="15"/>
        <v>16.785020219090541</v>
      </c>
      <c r="S34" s="5">
        <f t="shared" si="15"/>
        <v>16.441602010073272</v>
      </c>
      <c r="T34" s="5">
        <f t="shared" si="15"/>
        <v>16.104968992119453</v>
      </c>
      <c r="U34" s="5">
        <f t="shared" si="15"/>
        <v>16.315852592868531</v>
      </c>
      <c r="V34" s="5">
        <f t="shared" si="15"/>
        <v>15.969689151231304</v>
      </c>
      <c r="W34" s="5">
        <f t="shared" si="15"/>
        <v>15.599629470583086</v>
      </c>
      <c r="X34" s="5">
        <f t="shared" si="15"/>
        <v>15.238729089177554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murphj2</dc:creator>
  <cp:lastModifiedBy>murphj2</cp:lastModifiedBy>
  <dcterms:created xsi:type="dcterms:W3CDTF">2018-02-15T11:40:07Z</dcterms:created>
  <dcterms:modified xsi:type="dcterms:W3CDTF">2018-02-15T12:18:43Z</dcterms:modified>
</cp:coreProperties>
</file>